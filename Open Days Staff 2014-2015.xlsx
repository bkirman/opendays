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183" firstSheet="0" activeTab="0"/>
  </bookViews>
  <sheets>
    <sheet name="Staff" sheetId="1" state="visible" r:id="rId2"/>
    <sheet name="Open Days" sheetId="2" state="visible" r:id="rId3"/>
    <sheet name="Sheet3" sheetId="3" state="visible" r:id="rId4"/>
  </sheets>
  <definedNames>
    <definedName function="false" hidden="false" name="applicants" vbProcedure="false">'Open Days'!$C$12:$J$15</definedName>
    <definedName function="false" hidden="false" name="opendays" vbProcedure="false">'Open Days'!$C$3:$J$7</definedName>
  </definedNames>
  <calcPr iterateCount="100" refMode="A1" iterate="false" iterateDelta="0.001"/>
</workbook>
</file>

<file path=xl/sharedStrings.xml><?xml version="1.0" encoding="utf-8"?>
<sst xmlns="http://schemas.openxmlformats.org/spreadsheetml/2006/main" count="123" uniqueCount="60">
  <si>
    <t>Staff</t>
  </si>
  <si>
    <t>Workload</t>
  </si>
  <si>
    <t>Open Days</t>
  </si>
  <si>
    <t>Special Requests</t>
  </si>
  <si>
    <t>Amr Ahmed</t>
  </si>
  <si>
    <t>Bashir AlDiri</t>
  </si>
  <si>
    <t>Ben Kirman</t>
  </si>
  <si>
    <t>Bridget Jones</t>
  </si>
  <si>
    <t>Bruce Hargrave</t>
  </si>
  <si>
    <t>Conor Linehan</t>
  </si>
  <si>
    <t>David Cobham</t>
  </si>
  <si>
    <t>Derek Foster</t>
  </si>
  <si>
    <t>Duncan Rowland</t>
  </si>
  <si>
    <t>George Tzimiropoulos</t>
  </si>
  <si>
    <t>Grzegorz Cielniak</t>
  </si>
  <si>
    <t>Masterclass</t>
  </si>
  <si>
    <t>Helen Webster</t>
  </si>
  <si>
    <t>John Lewak</t>
  </si>
  <si>
    <t>Fine to do schools dep on teaching</t>
  </si>
  <si>
    <t>John Murray</t>
  </si>
  <si>
    <t>Not 18th Oct and 15th nov. happy to do everything</t>
  </si>
  <si>
    <t>John Shearer</t>
  </si>
  <si>
    <t>Kathrin Gerling</t>
  </si>
  <si>
    <t>Kevin Jacques</t>
  </si>
  <si>
    <t>No Schools</t>
  </si>
  <si>
    <t>Marc Hanheide</t>
  </si>
  <si>
    <t>Ok for schools, also linda could do stuff</t>
  </si>
  <si>
    <t>Did full day at Scampton STEM, also robot marathon etc so clearly doing a lot of outreach already</t>
  </si>
  <si>
    <t>Mark Doughty</t>
  </si>
  <si>
    <t>e</t>
  </si>
  <si>
    <t>Mel Chapman</t>
  </si>
  <si>
    <t>Nicola Bellotto</t>
  </si>
  <si>
    <t>Nigel Allinson</t>
  </si>
  <si>
    <t>Oscar Mozos</t>
  </si>
  <si>
    <t>Patrick Dickinson</t>
  </si>
  <si>
    <t>Place Holder</t>
  </si>
  <si>
    <t>Saddam Bekhet</t>
  </si>
  <si>
    <t>Shaun Lawson</t>
  </si>
  <si>
    <t>Shigang Yue</t>
  </si>
  <si>
    <t>Sue Jamison-Powell</t>
  </si>
  <si>
    <t>Tom Duckett</t>
  </si>
  <si>
    <t>Did full day at Scampton STEM</t>
  </si>
  <si>
    <t>Tryphon Lambrou</t>
  </si>
  <si>
    <t>Wenting Duan</t>
  </si>
  <si>
    <t>Xujiong Ye</t>
  </si>
  <si>
    <t>Total Hours</t>
  </si>
  <si>
    <t>General Open Days</t>
  </si>
  <si>
    <t>Date</t>
  </si>
  <si>
    <t>Length (hrs)</t>
  </si>
  <si>
    <t>School Intro</t>
  </si>
  <si>
    <t>CS</t>
  </si>
  <si>
    <t>GC</t>
  </si>
  <si>
    <t>SC</t>
  </si>
  <si>
    <t>CIS</t>
  </si>
  <si>
    <t>Extra</t>
  </si>
  <si>
    <t>?</t>
  </si>
  <si>
    <t>Applicant Open Days</t>
  </si>
  <si>
    <t>Activity 1</t>
  </si>
  <si>
    <t>Parent</t>
  </si>
  <si>
    <t>Nicola Belotto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</si>
</sst>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FFFFFFFF"/>
    <pageSetUpPr fitToPage="false"/>
  </sheetPr>
  <dimension ref="A1:G36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RowHeight="12.8"/>
  <cols>
    <col collapsed="false" hidden="false" max="1" min="1" style="0" width="19.8010204081633"/>
    <col collapsed="false" hidden="false" max="1025" min="2" style="0" width="11.8724489795918"/>
  </cols>
  <sheetData>
    <row r="1" s="1" customFormat="true" ht="12.1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2.1" hidden="false" customHeight="true" outlineLevel="0" collapsed="false">
      <c r="A2" s="0" t="s">
        <v>4</v>
      </c>
      <c r="B2" s="0" t="n">
        <v>25</v>
      </c>
      <c r="C2" s="0" t="n">
        <f aca="false">(COUNTIF(opendays,A2)*8) + (COUNTIF(applicants,A2)*4)</f>
        <v>16</v>
      </c>
    </row>
    <row r="3" customFormat="false" ht="12.1" hidden="false" customHeight="true" outlineLevel="0" collapsed="false">
      <c r="A3" s="0" t="s">
        <v>5</v>
      </c>
      <c r="B3" s="0" t="n">
        <v>25</v>
      </c>
      <c r="C3" s="0" t="n">
        <f aca="false">(COUNTIF(opendays,A3)*8) + (COUNTIF(applicants,A3)*4)</f>
        <v>0</v>
      </c>
    </row>
    <row r="4" customFormat="false" ht="12.1" hidden="false" customHeight="true" outlineLevel="0" collapsed="false">
      <c r="A4" s="0" t="s">
        <v>6</v>
      </c>
      <c r="B4" s="0" t="n">
        <v>25</v>
      </c>
      <c r="C4" s="0" t="n">
        <f aca="false">(COUNTIF(opendays,A4)*8) + (COUNTIF(applicants,A4)*4)</f>
        <v>24</v>
      </c>
    </row>
    <row r="5" customFormat="false" ht="12.1" hidden="false" customHeight="true" outlineLevel="0" collapsed="false">
      <c r="A5" s="0" t="s">
        <v>7</v>
      </c>
      <c r="B5" s="0" t="n">
        <v>0</v>
      </c>
      <c r="C5" s="0" t="n">
        <f aca="false">(COUNTIF(opendays,A5)*8) + (COUNTIF(applicants,A5)*4)</f>
        <v>0</v>
      </c>
    </row>
    <row r="6" customFormat="false" ht="12.1" hidden="false" customHeight="true" outlineLevel="0" collapsed="false">
      <c r="A6" s="0" t="s">
        <v>8</v>
      </c>
      <c r="B6" s="0" t="n">
        <v>0</v>
      </c>
      <c r="C6" s="0" t="n">
        <f aca="false">(COUNTIF(opendays,A6)*8) + (COUNTIF(applicants,A6)*4)</f>
        <v>0</v>
      </c>
    </row>
    <row r="7" customFormat="false" ht="12.1" hidden="false" customHeight="true" outlineLevel="0" collapsed="false">
      <c r="A7" s="0" t="s">
        <v>9</v>
      </c>
      <c r="B7" s="0" t="n">
        <v>25</v>
      </c>
      <c r="C7" s="0" t="n">
        <f aca="false">(COUNTIF(opendays,A7)*8) + (COUNTIF(applicants,A7)*4)</f>
        <v>16</v>
      </c>
    </row>
    <row r="8" customFormat="false" ht="12.1" hidden="false" customHeight="true" outlineLevel="0" collapsed="false">
      <c r="A8" s="0" t="s">
        <v>10</v>
      </c>
      <c r="B8" s="0" t="n">
        <v>25</v>
      </c>
      <c r="C8" s="0" t="n">
        <f aca="false">(COUNTIF(opendays,A8)*8) + (COUNTIF(applicants,A8)*4)</f>
        <v>56</v>
      </c>
    </row>
    <row r="9" customFormat="false" ht="12.1" hidden="false" customHeight="true" outlineLevel="0" collapsed="false">
      <c r="A9" s="0" t="s">
        <v>11</v>
      </c>
      <c r="B9" s="0" t="n">
        <v>25</v>
      </c>
      <c r="C9" s="0" t="n">
        <f aca="false">(COUNTIF(opendays,A9)*8) + (COUNTIF(applicants,A9)*4)</f>
        <v>20</v>
      </c>
    </row>
    <row r="10" customFormat="false" ht="12.1" hidden="false" customHeight="true" outlineLevel="0" collapsed="false">
      <c r="A10" s="0" t="s">
        <v>12</v>
      </c>
      <c r="B10" s="0" t="n">
        <v>25</v>
      </c>
      <c r="C10" s="0" t="n">
        <f aca="false">(COUNTIF(opendays,A10)*8) + (COUNTIF(applicants,A10)*4)</f>
        <v>0</v>
      </c>
    </row>
    <row r="11" customFormat="false" ht="12.1" hidden="false" customHeight="true" outlineLevel="0" collapsed="false">
      <c r="A11" s="0" t="s">
        <v>13</v>
      </c>
      <c r="B11" s="0" t="n">
        <v>25</v>
      </c>
      <c r="C11" s="0" t="n">
        <f aca="false">(COUNTIF(opendays,A11)*8) + (COUNTIF(applicants,A11)*4)</f>
        <v>0</v>
      </c>
    </row>
    <row r="12" customFormat="false" ht="12.1" hidden="false" customHeight="true" outlineLevel="0" collapsed="false">
      <c r="A12" s="0" t="s">
        <v>14</v>
      </c>
      <c r="B12" s="0" t="n">
        <v>25</v>
      </c>
      <c r="C12" s="0" t="n">
        <f aca="false">(COUNTIF(opendays,A12)*8) + (COUNTIF(applicants,A12)*4)</f>
        <v>12</v>
      </c>
      <c r="D12" s="0" t="s">
        <v>15</v>
      </c>
    </row>
    <row r="13" customFormat="false" ht="12.1" hidden="false" customHeight="true" outlineLevel="0" collapsed="false">
      <c r="A13" s="0" t="s">
        <v>16</v>
      </c>
      <c r="B13" s="0" t="n">
        <v>0</v>
      </c>
      <c r="C13" s="0" t="n">
        <f aca="false">(COUNTIF(opendays,A13)*8) + (COUNTIF(applicants,A13)*4)</f>
        <v>0</v>
      </c>
    </row>
    <row r="14" customFormat="false" ht="12.1" hidden="false" customHeight="true" outlineLevel="0" collapsed="false">
      <c r="A14" s="0" t="s">
        <v>17</v>
      </c>
      <c r="B14" s="0" t="n">
        <v>25</v>
      </c>
      <c r="C14" s="0" t="n">
        <f aca="false">(COUNTIF(opendays,A14)*8) + (COUNTIF(applicants,A14)*4)</f>
        <v>8</v>
      </c>
      <c r="D14" s="0" t="s">
        <v>18</v>
      </c>
    </row>
    <row r="15" customFormat="false" ht="12.1" hidden="false" customHeight="true" outlineLevel="0" collapsed="false">
      <c r="A15" s="0" t="s">
        <v>19</v>
      </c>
      <c r="B15" s="0" t="n">
        <v>25</v>
      </c>
      <c r="C15" s="0" t="n">
        <f aca="false">(COUNTIF(opendays,A15)*8) + (COUNTIF(applicants,A15)*4)</f>
        <v>24</v>
      </c>
      <c r="D15" s="0" t="s">
        <v>20</v>
      </c>
    </row>
    <row r="16" customFormat="false" ht="12.1" hidden="false" customHeight="true" outlineLevel="0" collapsed="false">
      <c r="A16" s="0" t="s">
        <v>21</v>
      </c>
      <c r="B16" s="0" t="n">
        <v>25</v>
      </c>
      <c r="C16" s="0" t="n">
        <f aca="false">(COUNTIF(opendays,A16)*8) + (COUNTIF(applicants,A16)*4)</f>
        <v>16</v>
      </c>
    </row>
    <row r="17" customFormat="false" ht="12.1" hidden="false" customHeight="true" outlineLevel="0" collapsed="false">
      <c r="A17" s="0" t="s">
        <v>22</v>
      </c>
      <c r="B17" s="0" t="n">
        <v>25</v>
      </c>
      <c r="C17" s="0" t="n">
        <f aca="false">(COUNTIF(opendays,A17)*8) + (COUNTIF(applicants,A17)*4)</f>
        <v>0</v>
      </c>
    </row>
    <row r="18" customFormat="false" ht="12.1" hidden="false" customHeight="true" outlineLevel="0" collapsed="false">
      <c r="A18" s="0" t="s">
        <v>23</v>
      </c>
      <c r="B18" s="0" t="n">
        <v>25</v>
      </c>
      <c r="C18" s="0" t="n">
        <f aca="false">(COUNTIF(opendays,A18)*8) + (COUNTIF(applicants,A18)*4)</f>
        <v>24</v>
      </c>
      <c r="D18" s="0" t="s">
        <v>24</v>
      </c>
    </row>
    <row r="19" customFormat="false" ht="12.1" hidden="false" customHeight="true" outlineLevel="0" collapsed="false">
      <c r="A19" s="0" t="s">
        <v>25</v>
      </c>
      <c r="B19" s="0" t="n">
        <v>25</v>
      </c>
      <c r="C19" s="0" t="n">
        <f aca="false">(COUNTIF(opendays,A19)*8) + (COUNTIF(applicants,A19)*4)</f>
        <v>8</v>
      </c>
      <c r="D19" s="0" t="s">
        <v>26</v>
      </c>
      <c r="G19" s="0" t="s">
        <v>27</v>
      </c>
    </row>
    <row r="20" customFormat="false" ht="12.1" hidden="false" customHeight="true" outlineLevel="0" collapsed="false">
      <c r="A20" s="0" t="s">
        <v>28</v>
      </c>
      <c r="B20" s="0" t="n">
        <v>25</v>
      </c>
      <c r="C20" s="0" t="n">
        <f aca="false">(COUNTIF(opendays,A20)*8) + (COUNTIF(applicants,A20)*4)</f>
        <v>16</v>
      </c>
      <c r="G20" s="0" t="s">
        <v>29</v>
      </c>
    </row>
    <row r="21" customFormat="false" ht="12.1" hidden="false" customHeight="true" outlineLevel="0" collapsed="false">
      <c r="A21" s="0" t="s">
        <v>30</v>
      </c>
      <c r="B21" s="0" t="n">
        <v>0</v>
      </c>
      <c r="C21" s="0" t="n">
        <f aca="false">(COUNTIF(opendays,A21)*8) + (COUNTIF(applicants,A21)*4)</f>
        <v>0</v>
      </c>
    </row>
    <row r="22" customFormat="false" ht="12.1" hidden="false" customHeight="true" outlineLevel="0" collapsed="false">
      <c r="A22" s="0" t="s">
        <v>31</v>
      </c>
      <c r="B22" s="0" t="n">
        <v>25</v>
      </c>
      <c r="C22" s="0" t="n">
        <f aca="false">(COUNTIF(opendays,A22)*8) + (COUNTIF(applicants,A22)*4)</f>
        <v>8</v>
      </c>
    </row>
    <row r="23" customFormat="false" ht="12.1" hidden="false" customHeight="true" outlineLevel="0" collapsed="false">
      <c r="A23" s="0" t="s">
        <v>32</v>
      </c>
      <c r="B23" s="0" t="n">
        <v>25</v>
      </c>
      <c r="C23" s="0" t="n">
        <f aca="false">(COUNTIF(opendays,A23)*8) + (COUNTIF(applicants,A23)*4)</f>
        <v>0</v>
      </c>
    </row>
    <row r="24" customFormat="false" ht="12.1" hidden="false" customHeight="true" outlineLevel="0" collapsed="false">
      <c r="A24" s="0" t="s">
        <v>33</v>
      </c>
      <c r="B24" s="0" t="n">
        <v>25</v>
      </c>
      <c r="C24" s="0" t="n">
        <f aca="false">(COUNTIF(opendays,A24)*8) + (COUNTIF(applicants,A24)*4)</f>
        <v>16</v>
      </c>
    </row>
    <row r="25" customFormat="false" ht="12.1" hidden="false" customHeight="true" outlineLevel="0" collapsed="false">
      <c r="A25" s="0" t="s">
        <v>34</v>
      </c>
      <c r="B25" s="0" t="n">
        <v>25</v>
      </c>
      <c r="C25" s="0" t="n">
        <f aca="false">(COUNTIF(opendays,A25)*8) + (COUNTIF(applicants,A25)*4)</f>
        <v>8</v>
      </c>
      <c r="D25" s="0" t="s">
        <v>24</v>
      </c>
    </row>
    <row r="26" customFormat="false" ht="12.1" hidden="false" customHeight="true" outlineLevel="0" collapsed="false">
      <c r="A26" s="0" t="s">
        <v>35</v>
      </c>
      <c r="B26" s="0" t="n">
        <v>25</v>
      </c>
      <c r="C26" s="0" t="n">
        <f aca="false">(COUNTIF(opendays,A26)*8) + (COUNTIF(applicants,A26)*4)</f>
        <v>0</v>
      </c>
    </row>
    <row r="27" customFormat="false" ht="12.1" hidden="false" customHeight="true" outlineLevel="0" collapsed="false">
      <c r="A27" s="0" t="s">
        <v>36</v>
      </c>
      <c r="B27" s="0" t="n">
        <v>0</v>
      </c>
      <c r="C27" s="0" t="n">
        <f aca="false">(COUNTIF(opendays,A27)*8) + (COUNTIF(applicants,A27)*4)</f>
        <v>0</v>
      </c>
    </row>
    <row r="28" customFormat="false" ht="12.1" hidden="false" customHeight="true" outlineLevel="0" collapsed="false">
      <c r="A28" s="0" t="s">
        <v>37</v>
      </c>
      <c r="B28" s="0" t="n">
        <v>25</v>
      </c>
      <c r="C28" s="0" t="n">
        <f aca="false">(COUNTIF(opendays,A28)*8) + (COUNTIF(applicants,A28)*4)</f>
        <v>16</v>
      </c>
    </row>
    <row r="29" customFormat="false" ht="12.1" hidden="false" customHeight="true" outlineLevel="0" collapsed="false">
      <c r="A29" s="0" t="s">
        <v>38</v>
      </c>
      <c r="B29" s="0" t="n">
        <v>25</v>
      </c>
      <c r="C29" s="0" t="n">
        <f aca="false">(COUNTIF(opendays,A29)*8) + (COUNTIF(applicants,A29)*4)</f>
        <v>0</v>
      </c>
    </row>
    <row r="30" customFormat="false" ht="12.1" hidden="false" customHeight="true" outlineLevel="0" collapsed="false">
      <c r="A30" s="0" t="s">
        <v>39</v>
      </c>
      <c r="B30" s="0" t="n">
        <v>0</v>
      </c>
      <c r="C30" s="0" t="n">
        <f aca="false">(COUNTIF(opendays,A30)*8) + (COUNTIF(applicants,A30)*4)</f>
        <v>0</v>
      </c>
    </row>
    <row r="31" customFormat="false" ht="12.1" hidden="false" customHeight="true" outlineLevel="0" collapsed="false">
      <c r="A31" s="0" t="s">
        <v>40</v>
      </c>
      <c r="B31" s="0" t="n">
        <v>25</v>
      </c>
      <c r="C31" s="0" t="n">
        <f aca="false">(COUNTIF(opendays,A31)*8) + (COUNTIF(applicants,A31)*4)</f>
        <v>12</v>
      </c>
      <c r="D31" s="0" t="s">
        <v>41</v>
      </c>
    </row>
    <row r="32" customFormat="false" ht="12.1" hidden="false" customHeight="true" outlineLevel="0" collapsed="false">
      <c r="A32" s="0" t="s">
        <v>42</v>
      </c>
      <c r="B32" s="0" t="n">
        <v>25</v>
      </c>
      <c r="C32" s="0" t="n">
        <f aca="false">(COUNTIF(opendays,A32)*8) + (COUNTIF(applicants,A32)*4)</f>
        <v>40</v>
      </c>
    </row>
    <row r="33" customFormat="false" ht="12.1" hidden="false" customHeight="true" outlineLevel="0" collapsed="false">
      <c r="A33" s="0" t="s">
        <v>43</v>
      </c>
      <c r="B33" s="0" t="n">
        <v>25</v>
      </c>
      <c r="C33" s="0" t="n">
        <f aca="false">(COUNTIF(opendays,A33)*8) + (COUNTIF(applicants,A33)*4)</f>
        <v>8</v>
      </c>
    </row>
    <row r="34" customFormat="false" ht="12.1" hidden="false" customHeight="true" outlineLevel="0" collapsed="false">
      <c r="A34" s="0" t="s">
        <v>44</v>
      </c>
      <c r="B34" s="0" t="n">
        <v>25</v>
      </c>
      <c r="C34" s="0" t="n">
        <f aca="false">(COUNTIF(opendays,A34)*8) + (COUNTIF(applicants,A34)*4)</f>
        <v>8</v>
      </c>
    </row>
    <row r="36" customFormat="false" ht="12.1" hidden="false" customHeight="true" outlineLevel="0" collapsed="false">
      <c r="A36" s="1" t="s">
        <v>45</v>
      </c>
      <c r="B36" s="1" t="n">
        <f aca="false">SUM(B2:B34)</f>
        <v>675</v>
      </c>
      <c r="C36" s="1" t="n">
        <f aca="false">SUM(C2:C34)</f>
        <v>356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tabColor rgb="FFFFFFFF"/>
    <pageSetUpPr fitToPage="false"/>
  </sheetPr>
  <dimension ref="A1:J15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7" activeCellId="0" sqref="G7"/>
    </sheetView>
  </sheetViews>
  <sheetFormatPr defaultRowHeight="12.8"/>
  <cols>
    <col collapsed="false" hidden="false" max="1" min="1" style="0" width="20.2295918367347"/>
    <col collapsed="false" hidden="false" max="2" min="2" style="0" width="11.8724489795918"/>
    <col collapsed="false" hidden="false" max="3" min="3" style="0" width="13.8061224489796"/>
    <col collapsed="false" hidden="false" max="1025" min="4" style="0" width="11.8724489795918"/>
  </cols>
  <sheetData>
    <row r="1" s="1" customFormat="true" ht="12.1" hidden="false" customHeight="true" outlineLevel="0" collapsed="false">
      <c r="A1" s="1" t="s">
        <v>46</v>
      </c>
    </row>
    <row r="2" customFormat="false" ht="12.1" hidden="false" customHeight="true" outlineLevel="0" collapsed="false">
      <c r="A2" s="1" t="s">
        <v>47</v>
      </c>
      <c r="B2" s="1" t="s">
        <v>48</v>
      </c>
      <c r="C2" s="1" t="s">
        <v>49</v>
      </c>
      <c r="D2" s="1" t="s">
        <v>50</v>
      </c>
      <c r="E2" s="1" t="s">
        <v>51</v>
      </c>
      <c r="F2" s="1" t="s">
        <v>52</v>
      </c>
      <c r="G2" s="1" t="s">
        <v>53</v>
      </c>
      <c r="H2" s="1" t="s">
        <v>54</v>
      </c>
      <c r="I2" s="1" t="s">
        <v>54</v>
      </c>
    </row>
    <row r="3" customFormat="false" ht="12.1" hidden="false" customHeight="true" outlineLevel="0" collapsed="false">
      <c r="A3" s="2" t="n">
        <v>41902</v>
      </c>
      <c r="B3" s="0" t="n">
        <v>8</v>
      </c>
      <c r="C3" s="0" t="s">
        <v>10</v>
      </c>
      <c r="D3" s="0" t="s">
        <v>42</v>
      </c>
      <c r="E3" s="0" t="s">
        <v>21</v>
      </c>
      <c r="F3" s="0" t="s">
        <v>6</v>
      </c>
      <c r="G3" s="0" t="s">
        <v>19</v>
      </c>
      <c r="H3" s="0" t="s">
        <v>28</v>
      </c>
      <c r="I3" s="0" t="s">
        <v>25</v>
      </c>
    </row>
    <row r="4" customFormat="false" ht="12.1" hidden="false" customHeight="true" outlineLevel="0" collapsed="false">
      <c r="A4" s="2" t="n">
        <v>41916</v>
      </c>
      <c r="B4" s="0" t="n">
        <v>8</v>
      </c>
      <c r="C4" s="0" t="s">
        <v>10</v>
      </c>
      <c r="D4" s="0" t="s">
        <v>42</v>
      </c>
      <c r="E4" s="0" t="s">
        <v>6</v>
      </c>
      <c r="F4" s="0" t="s">
        <v>9</v>
      </c>
      <c r="G4" s="0" t="s">
        <v>17</v>
      </c>
      <c r="H4" s="0" t="s">
        <v>43</v>
      </c>
      <c r="I4" s="0" t="s">
        <v>19</v>
      </c>
      <c r="J4" s="0" t="s">
        <v>23</v>
      </c>
    </row>
    <row r="5" customFormat="false" ht="12.1" hidden="false" customHeight="true" outlineLevel="0" collapsed="false">
      <c r="A5" s="2" t="n">
        <v>41930</v>
      </c>
      <c r="B5" s="0" t="n">
        <v>8</v>
      </c>
      <c r="C5" s="0" t="s">
        <v>10</v>
      </c>
      <c r="D5" s="0" t="s">
        <v>14</v>
      </c>
      <c r="E5" s="0" t="s">
        <v>34</v>
      </c>
      <c r="F5" s="0" t="s">
        <v>42</v>
      </c>
      <c r="G5" s="0" t="s">
        <v>33</v>
      </c>
      <c r="H5" s="0" t="s">
        <v>6</v>
      </c>
      <c r="I5" s="0" t="s">
        <v>4</v>
      </c>
      <c r="J5" s="0" t="s">
        <v>37</v>
      </c>
    </row>
    <row r="6" customFormat="false" ht="12.1" hidden="false" customHeight="true" outlineLevel="0" collapsed="false">
      <c r="A6" s="2" t="n">
        <v>41958</v>
      </c>
      <c r="B6" s="0" t="n">
        <v>8</v>
      </c>
      <c r="C6" s="0" t="s">
        <v>10</v>
      </c>
      <c r="D6" s="0" t="s">
        <v>37</v>
      </c>
      <c r="E6" s="0" t="s">
        <v>31</v>
      </c>
      <c r="F6" s="0" t="s">
        <v>9</v>
      </c>
      <c r="G6" s="0" t="s">
        <v>23</v>
      </c>
      <c r="H6" s="0" t="s">
        <v>33</v>
      </c>
      <c r="I6" s="0" t="s">
        <v>4</v>
      </c>
      <c r="J6" s="0" t="s">
        <v>28</v>
      </c>
    </row>
    <row r="7" customFormat="false" ht="12.1" hidden="false" customHeight="true" outlineLevel="0" collapsed="false">
      <c r="A7" s="2" t="n">
        <v>41976</v>
      </c>
      <c r="B7" s="0" t="n">
        <v>8</v>
      </c>
      <c r="C7" s="0" t="s">
        <v>10</v>
      </c>
      <c r="D7" s="0" t="s">
        <v>23</v>
      </c>
      <c r="E7" s="0" t="s">
        <v>21</v>
      </c>
      <c r="F7" s="0" t="s">
        <v>40</v>
      </c>
      <c r="G7" s="0" t="s">
        <v>44</v>
      </c>
      <c r="H7" s="0" t="s">
        <v>11</v>
      </c>
    </row>
    <row r="8" customFormat="false" ht="12.1" hidden="false" customHeight="true" outlineLevel="0" collapsed="false">
      <c r="A8" s="0" t="s">
        <v>55</v>
      </c>
      <c r="F8" s="0" t="s">
        <v>31</v>
      </c>
    </row>
    <row r="9" customFormat="false" ht="12.1" hidden="false" customHeight="true" outlineLevel="0" collapsed="false">
      <c r="A9" s="0" t="s">
        <v>55</v>
      </c>
      <c r="F9" s="0" t="s">
        <v>31</v>
      </c>
    </row>
    <row r="11" s="1" customFormat="true" ht="12.1" hidden="false" customHeight="true" outlineLevel="0" collapsed="false">
      <c r="A11" s="1" t="s">
        <v>56</v>
      </c>
      <c r="B11" s="1" t="s">
        <v>48</v>
      </c>
      <c r="C11" s="1" t="s">
        <v>49</v>
      </c>
      <c r="D11" s="1" t="s">
        <v>57</v>
      </c>
      <c r="E11" s="1" t="s">
        <v>57</v>
      </c>
      <c r="F11" s="1" t="s">
        <v>57</v>
      </c>
      <c r="G11" s="1" t="s">
        <v>58</v>
      </c>
      <c r="H11" s="1" t="s">
        <v>58</v>
      </c>
      <c r="I11" s="1" t="s">
        <v>58</v>
      </c>
    </row>
    <row r="12" customFormat="false" ht="12.1" hidden="false" customHeight="true" outlineLevel="0" collapsed="false">
      <c r="A12" s="2" t="n">
        <v>42042</v>
      </c>
      <c r="B12" s="0" t="n">
        <v>4</v>
      </c>
      <c r="C12" s="0" t="s">
        <v>10</v>
      </c>
      <c r="G12" s="0" t="s">
        <v>42</v>
      </c>
      <c r="H12" s="0" t="s">
        <v>59</v>
      </c>
    </row>
    <row r="13" customFormat="false" ht="12.1" hidden="false" customHeight="true" outlineLevel="0" collapsed="false">
      <c r="A13" s="2" t="n">
        <v>42053</v>
      </c>
      <c r="B13" s="0" t="n">
        <v>4</v>
      </c>
      <c r="C13" s="0" t="s">
        <v>10</v>
      </c>
      <c r="D13" s="0" t="s">
        <v>14</v>
      </c>
      <c r="E13" s="0" t="s">
        <v>19</v>
      </c>
      <c r="F13" s="0" t="s">
        <v>11</v>
      </c>
      <c r="G13" s="0" t="s">
        <v>42</v>
      </c>
      <c r="H13" s="0" t="s">
        <v>40</v>
      </c>
    </row>
    <row r="14" customFormat="false" ht="12.1" hidden="false" customHeight="true" outlineLevel="0" collapsed="false">
      <c r="A14" s="2" t="n">
        <v>42077</v>
      </c>
      <c r="B14" s="0" t="n">
        <v>4</v>
      </c>
      <c r="C14" s="0" t="s">
        <v>10</v>
      </c>
      <c r="E14" s="0" t="s">
        <v>19</v>
      </c>
      <c r="F14" s="0" t="s">
        <v>11</v>
      </c>
      <c r="G14" s="0" t="s">
        <v>42</v>
      </c>
    </row>
    <row r="15" customFormat="false" ht="12.1" hidden="false" customHeight="true" outlineLevel="0" collapsed="false">
      <c r="A15" s="2" t="n">
        <v>42091</v>
      </c>
      <c r="B15" s="0" t="n">
        <v>4</v>
      </c>
      <c r="C15" s="0" t="s">
        <v>10</v>
      </c>
      <c r="F15" s="0" t="s">
        <v>11</v>
      </c>
      <c r="G15" s="0" t="s">
        <v>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tabColor rgb="FFFFFFFF"/>
    <pageSetUpPr fitToPage="false"/>
  </sheetPr>
  <dimension ref="A1"/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"/>
  <cols>
    <col collapsed="false" hidden="false" max="1025" min="1" style="0" width="11.8724489795918"/>
  </cols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LibreOffice/4.2.7.2$Linux_X86_64 LibreOffice_project/420m0$Build-2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2014-08-18T13:58:36Z</dcterms:created>
  <dc:creator>Ben Kirman</dc:creator>
  <dc:language>en-GB</dc:language>
  <cp:revision>0</cp:revision>
</cp:coreProperties>
</file>